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ll\OneDrive\Desktop\TOPS\excel assignment\"/>
    </mc:Choice>
  </mc:AlternateContent>
  <xr:revisionPtr revIDLastSave="0" documentId="13_ncr:1_{FD2C6BD8-6561-462F-88EC-3237339F021E}" xr6:coauthVersionLast="47" xr6:coauthVersionMax="47" xr10:uidLastSave="{00000000-0000-0000-0000-000000000000}"/>
  <bookViews>
    <workbookView xWindow="-108" yWindow="-108" windowWidth="23256" windowHeight="12456" xr2:uid="{8B047CCA-9E52-46EF-9396-43C579859142}"/>
  </bookViews>
  <sheets>
    <sheet name="Sheet5" sheetId="8" r:id="rId1"/>
    <sheet name="MACRO1" sheetId="25" r:id="rId2"/>
    <sheet name="MACRO" sheetId="7" r:id="rId3"/>
    <sheet name="Discounted" sheetId="3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4" i="3" l="1"/>
  <c r="H2" i="3"/>
  <c r="H3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</calcChain>
</file>

<file path=xl/sharedStrings.xml><?xml version="1.0" encoding="utf-8"?>
<sst xmlns="http://schemas.openxmlformats.org/spreadsheetml/2006/main" count="148" uniqueCount="58">
  <si>
    <t>Order ID</t>
  </si>
  <si>
    <t>Name</t>
  </si>
  <si>
    <t>Product</t>
  </si>
  <si>
    <t>Quantity</t>
  </si>
  <si>
    <t>Price</t>
  </si>
  <si>
    <t>Discount</t>
  </si>
  <si>
    <t>Total</t>
  </si>
  <si>
    <t>Bill Smith</t>
  </si>
  <si>
    <t>Volkswagen Golf</t>
  </si>
  <si>
    <t>Kennedi Singh</t>
  </si>
  <si>
    <t>Toyota Yaris</t>
  </si>
  <si>
    <t>Harley Fritz</t>
  </si>
  <si>
    <t>Seat Panda</t>
  </si>
  <si>
    <t>Nyla Novak</t>
  </si>
  <si>
    <t>Ford Focus</t>
  </si>
  <si>
    <t>Ivan Hines</t>
  </si>
  <si>
    <t>Vauxhall Corsa</t>
  </si>
  <si>
    <t>Jonah Higgins</t>
  </si>
  <si>
    <t>Volkswagen Polo</t>
  </si>
  <si>
    <t>Jordan Boone</t>
  </si>
  <si>
    <t>Kia Sportage</t>
  </si>
  <si>
    <t>Kylee Townsend</t>
  </si>
  <si>
    <t>Ford Fiesta</t>
  </si>
  <si>
    <t>Nora Rollins</t>
  </si>
  <si>
    <t>Seat Ibiza</t>
  </si>
  <si>
    <t>Brendan Walls</t>
  </si>
  <si>
    <t>Renault Clio</t>
  </si>
  <si>
    <t>Steven Michael</t>
  </si>
  <si>
    <t>Honda CR-V</t>
  </si>
  <si>
    <t>Lucia Mckay</t>
  </si>
  <si>
    <t>GMC Sierra</t>
  </si>
  <si>
    <t>Josue Roach</t>
  </si>
  <si>
    <t>Franklin Wright</t>
  </si>
  <si>
    <t>Denzel Flores</t>
  </si>
  <si>
    <t>Bruno Cordova</t>
  </si>
  <si>
    <t>Jaylynn Knapp</t>
  </si>
  <si>
    <t>Bruce Rich</t>
  </si>
  <si>
    <t>Order ID,Name,Product,Quantity,Price,Total</t>
  </si>
  <si>
    <t>11280,Bill Smith,Volkswagen Golf,15,30000,450000</t>
  </si>
  <si>
    <t>11281,Kennedi Singh,Toyota Yaris,10,25000,250000</t>
  </si>
  <si>
    <t>11282,Harley Fritz,Seat Panda,150,28000,4200000</t>
  </si>
  <si>
    <t>11283,Nyla Novak,Ford Focus,12,30000,360000</t>
  </si>
  <si>
    <t>11284,Ivan Hines,Vauxhall Corsa,20,30000,600000</t>
  </si>
  <si>
    <t>11285,Jonah Higgins,Volkswagen Polo,20,26000,520000</t>
  </si>
  <si>
    <t>11286,Jordan Boone,Kia Sportage,2,30000,60000</t>
  </si>
  <si>
    <t>11287,Kylee Townsend,Ford Fiesta,5,35000,175000</t>
  </si>
  <si>
    <t>11288,Nora Rollins,Seat Ibiza,80,30000,2400000</t>
  </si>
  <si>
    <t>11289,Brendan Walls,Renault Clio,100,26000,2600000</t>
  </si>
  <si>
    <t>11290,Steven Michael,Honda CR-V,20,35000,700000</t>
  </si>
  <si>
    <t>11291,Lucia Mckay,GMC Sierra,25,40000,1000000</t>
  </si>
  <si>
    <t>11292,Josue Roach,Seat Panda,10,28000,280000</t>
  </si>
  <si>
    <t>11293,Franklin Wright,Ford Focus,10,30000,300000</t>
  </si>
  <si>
    <t>11294,Denzel Flores,Vauxhall Corsa,5,30000,150000</t>
  </si>
  <si>
    <t>11295,Bruno Cordova,Volkswagen Polo,180,26000,4680000</t>
  </si>
  <si>
    <t>11296,Jaylynn Knapp,Kia Sportage,5,30000,150000</t>
  </si>
  <si>
    <t>11297,Bruce Rich,Ford Fiesta,250,35000,8750000</t>
  </si>
  <si>
    <t>I APPLIED MACRO BUT UNFORTUNATELY I LOST IT!!</t>
  </si>
  <si>
    <t>FINAL MACRO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</si>
</sst>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/>
    <xf numFmtId="0" fontId="1" fillId="0" borderId="1" xfId="0" applyFont="1" applyBorder="1"/>
    <xf numFmtId="0" fontId="0" fillId="0" borderId="1" xfId="0" applyBorder="1"/>
    <xf numFmtId="0" fontId="4" fillId="0" borderId="0" xfId="0" applyFont="1"/>
    <xf numFmtId="0" fontId="3" fillId="0" borderId="0" xfId="0" applyFont="1"/>
    <xf numFmtId="0" fontId="2" fillId="0" borderId="0" xfId="0" applyFont="1"/>
    <xf numFmtId="3" fontId="3" fillId="2" borderId="0" xfId="0" applyNumberFormat="1" applyFont="1" applyFill="1"/>
    <xf numFmtId="3" fontId="3" fillId="0" borderId="0" xfId="0" applyNumberFormat="1" applyFont="1"/>
    <xf numFmtId="3" fontId="4" fillId="0" borderId="0" xfId="0" applyNumberFormat="1" applyFont="1"/>
    <xf numFmtId="3" fontId="0" fillId="0" borderId="0" xfId="0" applyNumberFormat="1"/>
    <xf numFmtId="3" fontId="0" fillId="0" borderId="1" xfId="0" applyNumberFormat="1" applyBorder="1"/>
    <xf numFmtId="0" fontId="1" fillId="0" borderId="0" xfId="0" applyFont="1"/>
    <xf numFmtId="0" fontId="0" fillId="0" borderId="0" xfId="0"/>
  </cellXfs>
  <cellStyles count="1">
    <cellStyle name="Normal" xfId="0" builtinId="0"/>
  </cellStyles>
  <dxfs count="6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" formatCode="#,##0"/>
    </dxf>
    <dxf>
      <numFmt numFmtId="3" formatCode="#,##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</dxfs>
  <tableStyles count="1" defaultTableStyle="TableStyleMedium2" defaultPivotStyle="PivotStyleLight16">
    <tableStyle name="Invisible" pivot="0" table="0" count="0" xr9:uid="{B3773547-F326-4DE6-A75D-D52763B42375}"/>
  </tableStyles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23F2F876-7CCB-4D6B-A105-D239E25D7BA5}" name="Table13" displayName="Table13_1" ref="A1:F19" totalsRowShown="0">
  <autoFilter ref="A1:F19" xr:uid="{23F2F876-7CCB-4D6B-A105-D239E25D7BA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95FA066C-7177-4C2D-A76B-F546BF76E8AB}" name="Order ID"/>
    <tableColumn id="2" xr3:uid="{EBF9F700-87F4-40C4-A538-75A1BE1861FE}" name="Name"/>
    <tableColumn id="3" xr3:uid="{F79DF603-0EF1-4719-9CA8-2DBE5F4F0D46}" name="Product"/>
    <tableColumn id="4" xr3:uid="{4D7F5D02-3126-4540-A637-14793F853B28}" name="Quantity"/>
    <tableColumn id="5" xr3:uid="{3734CF42-4E63-4591-B58E-D46DDBC62C84}" name="Price"/>
    <tableColumn id="6" xr3:uid="{9CE6D5AB-704D-41F4-AD48-A5FA60B831CA}" name="Total"/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B68FB90-C5CD-4E06-88AB-0743327A571D}" name="Table3" displayName="Table3" ref="B2:G20" totalsRowShown="0" headerRowDxfId="1">
  <autoFilter ref="B2:G20" xr:uid="{6B68FB90-C5CD-4E06-88AB-0743327A571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6C62796C-91DC-41E6-B038-C356B43A48A9}" name="Order ID" dataDxfId="0"/>
    <tableColumn id="2" xr3:uid="{7A6AEBAC-E4FA-4F79-94EF-BEFEE471490E}" name="Name"/>
    <tableColumn id="3" xr3:uid="{E64BA980-C872-4F1E-8834-518259CCCC37}" name="Product"/>
    <tableColumn id="4" xr3:uid="{5E150572-CFCC-4D29-A750-00FC4F72606E}" name="Quantity"/>
    <tableColumn id="5" xr3:uid="{FB4FB7D7-B5A9-42F9-B1E9-1B6CFB126C01}" name="Price"/>
    <tableColumn id="6" xr3:uid="{00387427-73BA-4E20-BDB5-7201DE5B67C4}" name="Total"/>
  </tableColumns>
  <tableStyleInfo name="TableStyleMedium6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97B0C70-8C19-485C-9C06-B4A21C8BF34B}" name="Table1" displayName="Table1" ref="B1:H19" totalsRowShown="0" headerRowDxfId="5">
  <autoFilter ref="B1:H19" xr:uid="{797B0C70-8C19-485C-9C06-B4A21C8BF34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40CA47FB-36BB-449E-A477-B2FAD43B5CB0}" name="Order ID" dataDxfId="4"/>
    <tableColumn id="2" xr3:uid="{335170C8-5A08-4E23-B4E2-4823D74A184D}" name="Name"/>
    <tableColumn id="3" xr3:uid="{36B64F22-B730-4FB8-9D4F-20E427D98DEC}" name="Product"/>
    <tableColumn id="4" xr3:uid="{CEBB7BD3-5FF3-42A3-BAE2-9B3EF6DB7770}" name="Quantity"/>
    <tableColumn id="5" xr3:uid="{6426B003-BB5B-4B31-8F2C-8B74A9861885}" name="Price"/>
    <tableColumn id="6" xr3:uid="{CDC4EFC8-C32A-4E53-A9CA-B2FC59B750D6}" name="Total" dataDxfId="3"/>
    <tableColumn id="7" xr3:uid="{67926A7E-0FD6-4A24-975A-0312586D1E3C}" name="Discount" dataDxfId="2">
      <calculatedColumnFormula>IF(Table1[[#This Row],[Quantity]]&gt;20,Table1[[#This Row],[Total]]-Table1[[#This Row],[Total]]*1.2,"NA")</calculatedColumnFormula>
    </tableColumn>
  </tableColumns>
  <tableStyleInfo name="TableStyleMedium6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718347-A1B4-4260-B4A7-07C22717E059}">
  <sheetPr codeName="Sheet1"/>
  <dimension ref="B2:B20"/>
  <sheetViews>
    <sheetView tabSelected="1" workbookViewId="0">
      <selection activeCell="E13" sqref="E13"/>
    </sheetView>
  </sheetViews>
  <sheetFormatPr defaultRowHeight="14.4" x14ac:dyDescent="0.3"/>
  <cols>
    <col min="2" max="2" width="50.33203125" bestFit="1" customWidth="1"/>
  </cols>
  <sheetData>
    <row r="2" spans="2:2" x14ac:dyDescent="0.3">
      <c r="B2" s="13" t="s">
        <v>37</v>
      </c>
    </row>
    <row r="3" spans="2:2" x14ac:dyDescent="0.3">
      <c r="B3" s="13" t="s">
        <v>38</v>
      </c>
    </row>
    <row r="4" spans="2:2" x14ac:dyDescent="0.3">
      <c r="B4" s="13" t="s">
        <v>39</v>
      </c>
    </row>
    <row r="5" spans="2:2" x14ac:dyDescent="0.3">
      <c r="B5" s="13" t="s">
        <v>40</v>
      </c>
    </row>
    <row r="6" spans="2:2" x14ac:dyDescent="0.3">
      <c r="B6" s="13" t="s">
        <v>41</v>
      </c>
    </row>
    <row r="7" spans="2:2" x14ac:dyDescent="0.3">
      <c r="B7" s="13" t="s">
        <v>42</v>
      </c>
    </row>
    <row r="8" spans="2:2" x14ac:dyDescent="0.3">
      <c r="B8" s="13" t="s">
        <v>43</v>
      </c>
    </row>
    <row r="9" spans="2:2" x14ac:dyDescent="0.3">
      <c r="B9" s="13" t="s">
        <v>44</v>
      </c>
    </row>
    <row r="10" spans="2:2" x14ac:dyDescent="0.3">
      <c r="B10" s="13" t="s">
        <v>45</v>
      </c>
    </row>
    <row r="11" spans="2:2" x14ac:dyDescent="0.3">
      <c r="B11" s="13" t="s">
        <v>46</v>
      </c>
    </row>
    <row r="12" spans="2:2" x14ac:dyDescent="0.3">
      <c r="B12" s="13" t="s">
        <v>47</v>
      </c>
    </row>
    <row r="13" spans="2:2" x14ac:dyDescent="0.3">
      <c r="B13" s="13" t="s">
        <v>48</v>
      </c>
    </row>
    <row r="14" spans="2:2" x14ac:dyDescent="0.3">
      <c r="B14" s="13" t="s">
        <v>49</v>
      </c>
    </row>
    <row r="15" spans="2:2" x14ac:dyDescent="0.3">
      <c r="B15" s="13" t="s">
        <v>50</v>
      </c>
    </row>
    <row r="16" spans="2:2" x14ac:dyDescent="0.3">
      <c r="B16" s="13" t="s">
        <v>51</v>
      </c>
    </row>
    <row r="17" spans="2:2" x14ac:dyDescent="0.3">
      <c r="B17" s="13" t="s">
        <v>52</v>
      </c>
    </row>
    <row r="18" spans="2:2" x14ac:dyDescent="0.3">
      <c r="B18" s="13" t="s">
        <v>53</v>
      </c>
    </row>
    <row r="19" spans="2:2" x14ac:dyDescent="0.3">
      <c r="B19" s="13" t="s">
        <v>54</v>
      </c>
    </row>
    <row r="20" spans="2:2" x14ac:dyDescent="0.3">
      <c r="B20" s="13" t="s">
        <v>55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058EF-BF9E-4800-A309-8CDD4564DACD}">
  <dimension ref="A1:I19"/>
  <sheetViews>
    <sheetView workbookViewId="0">
      <selection activeCell="A29" sqref="A29"/>
    </sheetView>
  </sheetViews>
  <sheetFormatPr defaultRowHeight="14.4" x14ac:dyDescent="0.3"/>
  <cols>
    <col min="1" max="1" width="50.33203125" bestFit="1" customWidth="1"/>
    <col min="3" max="3" width="9.5546875" customWidth="1"/>
    <col min="4" max="4" width="10.21875" customWidth="1"/>
  </cols>
  <sheetData>
    <row r="1" spans="1:9" x14ac:dyDescent="0.3">
      <c r="A1" s="13" t="s">
        <v>0</v>
      </c>
      <c r="B1" t="s">
        <v>1</v>
      </c>
      <c r="C1" t="s">
        <v>2</v>
      </c>
      <c r="D1" t="s">
        <v>3</v>
      </c>
      <c r="E1" t="s">
        <v>4</v>
      </c>
      <c r="F1" t="s">
        <v>6</v>
      </c>
    </row>
    <row r="2" spans="1:9" x14ac:dyDescent="0.3">
      <c r="A2" s="13">
        <v>11280</v>
      </c>
      <c r="B2" t="s">
        <v>7</v>
      </c>
      <c r="C2" t="s">
        <v>8</v>
      </c>
      <c r="D2">
        <v>15</v>
      </c>
      <c r="E2">
        <v>30000</v>
      </c>
      <c r="F2">
        <v>450000</v>
      </c>
    </row>
    <row r="3" spans="1:9" x14ac:dyDescent="0.3">
      <c r="A3" s="13">
        <v>11281</v>
      </c>
      <c r="B3" t="s">
        <v>9</v>
      </c>
      <c r="C3" t="s">
        <v>10</v>
      </c>
      <c r="D3">
        <v>10</v>
      </c>
      <c r="E3">
        <v>25000</v>
      </c>
      <c r="F3">
        <v>250000</v>
      </c>
    </row>
    <row r="4" spans="1:9" x14ac:dyDescent="0.3">
      <c r="A4" s="13">
        <v>11282</v>
      </c>
      <c r="B4" t="s">
        <v>11</v>
      </c>
      <c r="C4" t="s">
        <v>12</v>
      </c>
      <c r="D4">
        <v>150</v>
      </c>
      <c r="E4">
        <v>28000</v>
      </c>
      <c r="F4">
        <v>4200000</v>
      </c>
    </row>
    <row r="5" spans="1:9" x14ac:dyDescent="0.3">
      <c r="A5" s="13">
        <v>11283</v>
      </c>
      <c r="B5" t="s">
        <v>13</v>
      </c>
      <c r="C5" t="s">
        <v>14</v>
      </c>
      <c r="D5">
        <v>12</v>
      </c>
      <c r="E5">
        <v>30000</v>
      </c>
      <c r="F5">
        <v>360000</v>
      </c>
    </row>
    <row r="6" spans="1:9" x14ac:dyDescent="0.3">
      <c r="A6" s="13">
        <v>11284</v>
      </c>
      <c r="B6" t="s">
        <v>15</v>
      </c>
      <c r="C6" t="s">
        <v>16</v>
      </c>
      <c r="D6">
        <v>20</v>
      </c>
      <c r="E6">
        <v>30000</v>
      </c>
      <c r="F6">
        <v>600000</v>
      </c>
    </row>
    <row r="7" spans="1:9" x14ac:dyDescent="0.3">
      <c r="A7" s="13">
        <v>11285</v>
      </c>
      <c r="B7" t="s">
        <v>17</v>
      </c>
      <c r="C7" t="s">
        <v>18</v>
      </c>
      <c r="D7">
        <v>20</v>
      </c>
      <c r="E7">
        <v>26000</v>
      </c>
      <c r="F7">
        <v>520000</v>
      </c>
    </row>
    <row r="8" spans="1:9" x14ac:dyDescent="0.3">
      <c r="A8" s="13">
        <v>11286</v>
      </c>
      <c r="B8" t="s">
        <v>19</v>
      </c>
      <c r="C8" t="s">
        <v>20</v>
      </c>
      <c r="D8">
        <v>2</v>
      </c>
      <c r="E8">
        <v>30000</v>
      </c>
      <c r="F8">
        <v>60000</v>
      </c>
    </row>
    <row r="9" spans="1:9" x14ac:dyDescent="0.3">
      <c r="A9" s="13">
        <v>11287</v>
      </c>
      <c r="B9" t="s">
        <v>21</v>
      </c>
      <c r="C9" t="s">
        <v>22</v>
      </c>
      <c r="D9">
        <v>5</v>
      </c>
      <c r="E9">
        <v>35000</v>
      </c>
      <c r="F9">
        <v>175000</v>
      </c>
      <c r="I9" t="s">
        <v>57</v>
      </c>
    </row>
    <row r="10" spans="1:9" x14ac:dyDescent="0.3">
      <c r="A10" s="13">
        <v>11288</v>
      </c>
      <c r="B10" t="s">
        <v>23</v>
      </c>
      <c r="C10" t="s">
        <v>24</v>
      </c>
      <c r="D10">
        <v>80</v>
      </c>
      <c r="E10">
        <v>30000</v>
      </c>
      <c r="F10">
        <v>2400000</v>
      </c>
    </row>
    <row r="11" spans="1:9" x14ac:dyDescent="0.3">
      <c r="A11" s="13">
        <v>11289</v>
      </c>
      <c r="B11" t="s">
        <v>25</v>
      </c>
      <c r="C11" t="s">
        <v>26</v>
      </c>
      <c r="D11">
        <v>100</v>
      </c>
      <c r="E11">
        <v>26000</v>
      </c>
      <c r="F11">
        <v>2600000</v>
      </c>
    </row>
    <row r="12" spans="1:9" x14ac:dyDescent="0.3">
      <c r="A12" s="13">
        <v>11290</v>
      </c>
      <c r="B12" t="s">
        <v>27</v>
      </c>
      <c r="C12" t="s">
        <v>28</v>
      </c>
      <c r="D12">
        <v>20</v>
      </c>
      <c r="E12">
        <v>35000</v>
      </c>
      <c r="F12">
        <v>700000</v>
      </c>
    </row>
    <row r="13" spans="1:9" x14ac:dyDescent="0.3">
      <c r="A13" s="13">
        <v>11291</v>
      </c>
      <c r="B13" t="s">
        <v>29</v>
      </c>
      <c r="C13" t="s">
        <v>30</v>
      </c>
      <c r="D13">
        <v>25</v>
      </c>
      <c r="E13">
        <v>40000</v>
      </c>
      <c r="F13">
        <v>1000000</v>
      </c>
    </row>
    <row r="14" spans="1:9" x14ac:dyDescent="0.3">
      <c r="A14" s="13">
        <v>11292</v>
      </c>
      <c r="B14" t="s">
        <v>31</v>
      </c>
      <c r="C14" t="s">
        <v>12</v>
      </c>
      <c r="D14">
        <v>10</v>
      </c>
      <c r="E14">
        <v>28000</v>
      </c>
      <c r="F14">
        <v>280000</v>
      </c>
    </row>
    <row r="15" spans="1:9" x14ac:dyDescent="0.3">
      <c r="A15" s="13">
        <v>11293</v>
      </c>
      <c r="B15" t="s">
        <v>32</v>
      </c>
      <c r="C15" t="s">
        <v>14</v>
      </c>
      <c r="D15">
        <v>10</v>
      </c>
      <c r="E15">
        <v>30000</v>
      </c>
      <c r="F15">
        <v>300000</v>
      </c>
    </row>
    <row r="16" spans="1:9" x14ac:dyDescent="0.3">
      <c r="A16" s="13">
        <v>11294</v>
      </c>
      <c r="B16" t="s">
        <v>33</v>
      </c>
      <c r="C16" t="s">
        <v>16</v>
      </c>
      <c r="D16">
        <v>5</v>
      </c>
      <c r="E16">
        <v>30000</v>
      </c>
      <c r="F16">
        <v>150000</v>
      </c>
    </row>
    <row r="17" spans="1:6" x14ac:dyDescent="0.3">
      <c r="A17" s="13">
        <v>11295</v>
      </c>
      <c r="B17" t="s">
        <v>34</v>
      </c>
      <c r="C17" t="s">
        <v>18</v>
      </c>
      <c r="D17">
        <v>180</v>
      </c>
      <c r="E17">
        <v>26000</v>
      </c>
      <c r="F17">
        <v>4680000</v>
      </c>
    </row>
    <row r="18" spans="1:6" x14ac:dyDescent="0.3">
      <c r="A18" s="13">
        <v>11296</v>
      </c>
      <c r="B18" t="s">
        <v>35</v>
      </c>
      <c r="C18" t="s">
        <v>20</v>
      </c>
      <c r="D18">
        <v>5</v>
      </c>
      <c r="E18">
        <v>30000</v>
      </c>
      <c r="F18">
        <v>150000</v>
      </c>
    </row>
    <row r="19" spans="1:6" x14ac:dyDescent="0.3">
      <c r="A19" s="13">
        <v>11297</v>
      </c>
      <c r="B19" t="s">
        <v>36</v>
      </c>
      <c r="C19" t="s">
        <v>22</v>
      </c>
      <c r="D19">
        <v>250</v>
      </c>
      <c r="E19">
        <v>35000</v>
      </c>
      <c r="F19">
        <v>8750000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921EFF-AD04-4C5B-AFE3-56F74D3C283D}">
  <sheetPr codeName="Sheet2"/>
  <dimension ref="B2:J20"/>
  <sheetViews>
    <sheetView workbookViewId="0">
      <selection activeCell="J9" sqref="J9"/>
    </sheetView>
  </sheetViews>
  <sheetFormatPr defaultRowHeight="14.4" x14ac:dyDescent="0.3"/>
  <cols>
    <col min="2" max="2" width="9.88671875" customWidth="1"/>
    <col min="4" max="4" width="9.5546875" customWidth="1"/>
    <col min="5" max="5" width="10.21875" customWidth="1"/>
  </cols>
  <sheetData>
    <row r="2" spans="2:10" x14ac:dyDescent="0.3">
      <c r="B2" s="5" t="s">
        <v>0</v>
      </c>
      <c r="C2" s="5" t="s">
        <v>1</v>
      </c>
      <c r="D2" s="5" t="s">
        <v>2</v>
      </c>
      <c r="E2" s="5" t="s">
        <v>3</v>
      </c>
      <c r="F2" s="5" t="s">
        <v>4</v>
      </c>
      <c r="G2" s="5" t="s">
        <v>6</v>
      </c>
    </row>
    <row r="3" spans="2:10" x14ac:dyDescent="0.3">
      <c r="B3" s="12">
        <v>11280</v>
      </c>
      <c r="C3" t="s">
        <v>7</v>
      </c>
      <c r="D3" t="s">
        <v>8</v>
      </c>
      <c r="E3">
        <v>15</v>
      </c>
      <c r="F3">
        <v>30000</v>
      </c>
      <c r="G3">
        <v>450000</v>
      </c>
    </row>
    <row r="4" spans="2:10" x14ac:dyDescent="0.3">
      <c r="B4" s="12">
        <v>11281</v>
      </c>
      <c r="C4" t="s">
        <v>9</v>
      </c>
      <c r="D4" t="s">
        <v>10</v>
      </c>
      <c r="E4">
        <v>10</v>
      </c>
      <c r="F4">
        <v>25000</v>
      </c>
      <c r="G4">
        <v>250000</v>
      </c>
    </row>
    <row r="5" spans="2:10" x14ac:dyDescent="0.3">
      <c r="B5" s="12">
        <v>11282</v>
      </c>
      <c r="C5" t="s">
        <v>11</v>
      </c>
      <c r="D5" t="s">
        <v>12</v>
      </c>
      <c r="E5">
        <v>150</v>
      </c>
      <c r="F5">
        <v>28000</v>
      </c>
      <c r="G5">
        <v>4200000</v>
      </c>
    </row>
    <row r="6" spans="2:10" x14ac:dyDescent="0.3">
      <c r="B6" s="12">
        <v>11283</v>
      </c>
      <c r="C6" t="s">
        <v>13</v>
      </c>
      <c r="D6" t="s">
        <v>14</v>
      </c>
      <c r="E6">
        <v>12</v>
      </c>
      <c r="F6">
        <v>30000</v>
      </c>
      <c r="G6">
        <v>360000</v>
      </c>
    </row>
    <row r="7" spans="2:10" x14ac:dyDescent="0.3">
      <c r="B7" s="12">
        <v>11284</v>
      </c>
      <c r="C7" t="s">
        <v>15</v>
      </c>
      <c r="D7" t="s">
        <v>16</v>
      </c>
      <c r="E7">
        <v>20</v>
      </c>
      <c r="F7">
        <v>30000</v>
      </c>
      <c r="G7">
        <v>600000</v>
      </c>
    </row>
    <row r="8" spans="2:10" x14ac:dyDescent="0.3">
      <c r="B8" s="12">
        <v>11285</v>
      </c>
      <c r="C8" t="s">
        <v>17</v>
      </c>
      <c r="D8" t="s">
        <v>18</v>
      </c>
      <c r="E8">
        <v>20</v>
      </c>
      <c r="F8">
        <v>26000</v>
      </c>
      <c r="G8">
        <v>520000</v>
      </c>
    </row>
    <row r="9" spans="2:10" x14ac:dyDescent="0.3">
      <c r="B9" s="12">
        <v>11286</v>
      </c>
      <c r="C9" t="s">
        <v>19</v>
      </c>
      <c r="D9" t="s">
        <v>20</v>
      </c>
      <c r="E9">
        <v>2</v>
      </c>
      <c r="F9">
        <v>30000</v>
      </c>
      <c r="G9">
        <v>60000</v>
      </c>
      <c r="J9" t="s">
        <v>56</v>
      </c>
    </row>
    <row r="10" spans="2:10" x14ac:dyDescent="0.3">
      <c r="B10" s="12">
        <v>11287</v>
      </c>
      <c r="C10" t="s">
        <v>21</v>
      </c>
      <c r="D10" t="s">
        <v>22</v>
      </c>
      <c r="E10">
        <v>5</v>
      </c>
      <c r="F10">
        <v>35000</v>
      </c>
      <c r="G10">
        <v>175000</v>
      </c>
    </row>
    <row r="11" spans="2:10" x14ac:dyDescent="0.3">
      <c r="B11" s="12">
        <v>11288</v>
      </c>
      <c r="C11" t="s">
        <v>23</v>
      </c>
      <c r="D11" t="s">
        <v>24</v>
      </c>
      <c r="E11">
        <v>80</v>
      </c>
      <c r="F11">
        <v>30000</v>
      </c>
      <c r="G11">
        <v>2400000</v>
      </c>
    </row>
    <row r="12" spans="2:10" x14ac:dyDescent="0.3">
      <c r="B12" s="12">
        <v>11289</v>
      </c>
      <c r="C12" t="s">
        <v>25</v>
      </c>
      <c r="D12" t="s">
        <v>26</v>
      </c>
      <c r="E12">
        <v>100</v>
      </c>
      <c r="F12">
        <v>26000</v>
      </c>
      <c r="G12">
        <v>2600000</v>
      </c>
    </row>
    <row r="13" spans="2:10" x14ac:dyDescent="0.3">
      <c r="B13" s="12">
        <v>11290</v>
      </c>
      <c r="C13" t="s">
        <v>27</v>
      </c>
      <c r="D13" t="s">
        <v>28</v>
      </c>
      <c r="E13">
        <v>20</v>
      </c>
      <c r="F13">
        <v>35000</v>
      </c>
      <c r="G13">
        <v>700000</v>
      </c>
    </row>
    <row r="14" spans="2:10" x14ac:dyDescent="0.3">
      <c r="B14" s="12">
        <v>11291</v>
      </c>
      <c r="C14" t="s">
        <v>29</v>
      </c>
      <c r="D14" t="s">
        <v>30</v>
      </c>
      <c r="E14">
        <v>25</v>
      </c>
      <c r="F14">
        <v>40000</v>
      </c>
      <c r="G14">
        <v>1000000</v>
      </c>
    </row>
    <row r="15" spans="2:10" x14ac:dyDescent="0.3">
      <c r="B15" s="12">
        <v>11292</v>
      </c>
      <c r="C15" t="s">
        <v>31</v>
      </c>
      <c r="D15" t="s">
        <v>12</v>
      </c>
      <c r="E15">
        <v>10</v>
      </c>
      <c r="F15">
        <v>28000</v>
      </c>
      <c r="G15">
        <v>280000</v>
      </c>
    </row>
    <row r="16" spans="2:10" x14ac:dyDescent="0.3">
      <c r="B16" s="12">
        <v>11293</v>
      </c>
      <c r="C16" t="s">
        <v>32</v>
      </c>
      <c r="D16" t="s">
        <v>14</v>
      </c>
      <c r="E16">
        <v>10</v>
      </c>
      <c r="F16">
        <v>30000</v>
      </c>
      <c r="G16">
        <v>300000</v>
      </c>
    </row>
    <row r="17" spans="2:7" x14ac:dyDescent="0.3">
      <c r="B17" s="12">
        <v>11294</v>
      </c>
      <c r="C17" t="s">
        <v>33</v>
      </c>
      <c r="D17" t="s">
        <v>16</v>
      </c>
      <c r="E17">
        <v>5</v>
      </c>
      <c r="F17">
        <v>30000</v>
      </c>
      <c r="G17">
        <v>150000</v>
      </c>
    </row>
    <row r="18" spans="2:7" x14ac:dyDescent="0.3">
      <c r="B18" s="12">
        <v>11295</v>
      </c>
      <c r="C18" t="s">
        <v>34</v>
      </c>
      <c r="D18" t="s">
        <v>18</v>
      </c>
      <c r="E18">
        <v>180</v>
      </c>
      <c r="F18">
        <v>26000</v>
      </c>
      <c r="G18">
        <v>4680000</v>
      </c>
    </row>
    <row r="19" spans="2:7" x14ac:dyDescent="0.3">
      <c r="B19" s="12">
        <v>11296</v>
      </c>
      <c r="C19" t="s">
        <v>35</v>
      </c>
      <c r="D19" t="s">
        <v>20</v>
      </c>
      <c r="E19">
        <v>5</v>
      </c>
      <c r="F19">
        <v>30000</v>
      </c>
      <c r="G19">
        <v>150000</v>
      </c>
    </row>
    <row r="20" spans="2:7" x14ac:dyDescent="0.3">
      <c r="B20" s="12">
        <v>11297</v>
      </c>
      <c r="C20" t="s">
        <v>36</v>
      </c>
      <c r="D20" t="s">
        <v>22</v>
      </c>
      <c r="E20">
        <v>250</v>
      </c>
      <c r="F20">
        <v>35000</v>
      </c>
      <c r="G20">
        <v>8750000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CBD9FA-061C-410D-B4FD-D18CF9C1E7DC}">
  <sheetPr codeName="Sheet4"/>
  <dimension ref="B1:I19"/>
  <sheetViews>
    <sheetView workbookViewId="0">
      <selection activeCell="G26" sqref="G26"/>
    </sheetView>
  </sheetViews>
  <sheetFormatPr defaultRowHeight="14.4" x14ac:dyDescent="0.3"/>
  <cols>
    <col min="2" max="2" width="8" bestFit="1" customWidth="1"/>
    <col min="3" max="3" width="14.21875" bestFit="1" customWidth="1"/>
    <col min="4" max="4" width="14.88671875" bestFit="1" customWidth="1"/>
    <col min="5" max="5" width="8.33203125" bestFit="1" customWidth="1"/>
    <col min="6" max="6" width="6" bestFit="1" customWidth="1"/>
    <col min="7" max="7" width="11.44140625" style="10" bestFit="1" customWidth="1"/>
    <col min="8" max="8" width="9.5546875" bestFit="1" customWidth="1"/>
  </cols>
  <sheetData>
    <row r="1" spans="2:9" x14ac:dyDescent="0.3">
      <c r="B1" s="4" t="s">
        <v>0</v>
      </c>
      <c r="C1" s="4" t="s">
        <v>1</v>
      </c>
      <c r="D1" s="4" t="s">
        <v>2</v>
      </c>
      <c r="E1" s="4" t="s">
        <v>3</v>
      </c>
      <c r="F1" s="4" t="s">
        <v>4</v>
      </c>
      <c r="G1" s="9" t="s">
        <v>6</v>
      </c>
      <c r="H1" s="6" t="s">
        <v>5</v>
      </c>
      <c r="I1" s="4"/>
    </row>
    <row r="2" spans="2:9" x14ac:dyDescent="0.3">
      <c r="B2" s="1">
        <v>11280</v>
      </c>
      <c r="C2" t="s">
        <v>7</v>
      </c>
      <c r="D2" t="s">
        <v>8</v>
      </c>
      <c r="E2">
        <v>15</v>
      </c>
      <c r="F2">
        <v>30000</v>
      </c>
      <c r="G2" s="10">
        <v>450000</v>
      </c>
      <c r="H2" s="7" t="str">
        <f>IF(Table1[[#This Row],[Quantity]]&gt;20,Table1[[#This Row],[Total]]-Table1[[#This Row],[Total]]*1.2,"NA")</f>
        <v>NA</v>
      </c>
    </row>
    <row r="3" spans="2:9" x14ac:dyDescent="0.3">
      <c r="B3" s="1">
        <v>11281</v>
      </c>
      <c r="C3" t="s">
        <v>9</v>
      </c>
      <c r="D3" t="s">
        <v>10</v>
      </c>
      <c r="E3">
        <v>10</v>
      </c>
      <c r="F3">
        <v>25000</v>
      </c>
      <c r="G3" s="10">
        <v>250000</v>
      </c>
      <c r="H3" s="8" t="str">
        <f>IF(Table1[[#This Row],[Quantity]]&gt;20,Table1[[#This Row],[Total]]-Table1[[#This Row],[Total]]*1.2,"NA")</f>
        <v>NA</v>
      </c>
    </row>
    <row r="4" spans="2:9" x14ac:dyDescent="0.3">
      <c r="B4" s="1">
        <v>11282</v>
      </c>
      <c r="C4" t="s">
        <v>11</v>
      </c>
      <c r="D4" t="s">
        <v>12</v>
      </c>
      <c r="E4">
        <v>150</v>
      </c>
      <c r="F4">
        <v>28000</v>
      </c>
      <c r="G4" s="10">
        <v>4200000</v>
      </c>
      <c r="H4" s="8">
        <f>IF(Table1[[#This Row],[Quantity]]&gt;20,Table1[[#This Row],[Total]]-Table1[[#This Row],[Total]]*1.2,"NA")</f>
        <v>-840000</v>
      </c>
    </row>
    <row r="5" spans="2:9" x14ac:dyDescent="0.3">
      <c r="B5" s="1">
        <v>11283</v>
      </c>
      <c r="C5" t="s">
        <v>13</v>
      </c>
      <c r="D5" t="s">
        <v>14</v>
      </c>
      <c r="E5">
        <v>12</v>
      </c>
      <c r="F5">
        <v>30000</v>
      </c>
      <c r="G5" s="10">
        <v>360000</v>
      </c>
      <c r="H5" s="8" t="str">
        <f>IF(Table1[[#This Row],[Quantity]]&gt;20,Table1[[#This Row],[Total]]-Table1[[#This Row],[Total]]*1.2,"NA")</f>
        <v>NA</v>
      </c>
    </row>
    <row r="6" spans="2:9" x14ac:dyDescent="0.3">
      <c r="B6" s="1">
        <v>11284</v>
      </c>
      <c r="C6" t="s">
        <v>15</v>
      </c>
      <c r="D6" t="s">
        <v>16</v>
      </c>
      <c r="E6">
        <v>20</v>
      </c>
      <c r="F6">
        <v>30000</v>
      </c>
      <c r="G6" s="10">
        <v>600000</v>
      </c>
      <c r="H6" s="8" t="str">
        <f>IF(Table1[[#This Row],[Quantity]]&gt;20,Table1[[#This Row],[Total]]-Table1[[#This Row],[Total]]*1.2,"NA")</f>
        <v>NA</v>
      </c>
    </row>
    <row r="7" spans="2:9" x14ac:dyDescent="0.3">
      <c r="B7" s="1">
        <v>11285</v>
      </c>
      <c r="C7" t="s">
        <v>17</v>
      </c>
      <c r="D7" t="s">
        <v>18</v>
      </c>
      <c r="E7">
        <v>20</v>
      </c>
      <c r="F7">
        <v>26000</v>
      </c>
      <c r="G7" s="10">
        <v>520000</v>
      </c>
      <c r="H7" s="8" t="str">
        <f>IF(Table1[[#This Row],[Quantity]]&gt;20,Table1[[#This Row],[Total]]-Table1[[#This Row],[Total]]*1.2,"NA")</f>
        <v>NA</v>
      </c>
    </row>
    <row r="8" spans="2:9" x14ac:dyDescent="0.3">
      <c r="B8" s="1">
        <v>11286</v>
      </c>
      <c r="C8" t="s">
        <v>19</v>
      </c>
      <c r="D8" t="s">
        <v>20</v>
      </c>
      <c r="E8">
        <v>2</v>
      </c>
      <c r="F8">
        <v>30000</v>
      </c>
      <c r="G8" s="10">
        <v>60000</v>
      </c>
      <c r="H8" s="8" t="str">
        <f>IF(Table1[[#This Row],[Quantity]]&gt;20,Table1[[#This Row],[Total]]-Table1[[#This Row],[Total]]*1.2,"NA")</f>
        <v>NA</v>
      </c>
    </row>
    <row r="9" spans="2:9" x14ac:dyDescent="0.3">
      <c r="B9" s="1">
        <v>11287</v>
      </c>
      <c r="C9" t="s">
        <v>21</v>
      </c>
      <c r="D9" t="s">
        <v>22</v>
      </c>
      <c r="E9">
        <v>5</v>
      </c>
      <c r="F9">
        <v>35000</v>
      </c>
      <c r="G9" s="10">
        <v>175000</v>
      </c>
      <c r="H9" s="8" t="str">
        <f>IF(Table1[[#This Row],[Quantity]]&gt;20,Table1[[#This Row],[Total]]-Table1[[#This Row],[Total]]*1.2,"NA")</f>
        <v>NA</v>
      </c>
    </row>
    <row r="10" spans="2:9" x14ac:dyDescent="0.3">
      <c r="B10" s="1">
        <v>11288</v>
      </c>
      <c r="C10" t="s">
        <v>23</v>
      </c>
      <c r="D10" t="s">
        <v>24</v>
      </c>
      <c r="E10">
        <v>80</v>
      </c>
      <c r="F10">
        <v>30000</v>
      </c>
      <c r="G10" s="10">
        <v>2400000</v>
      </c>
      <c r="H10" s="8">
        <f>IF(Table1[[#This Row],[Quantity]]&gt;20,Table1[[#This Row],[Total]]-Table1[[#This Row],[Total]]*1.2,"NA")</f>
        <v>-480000</v>
      </c>
    </row>
    <row r="11" spans="2:9" x14ac:dyDescent="0.3">
      <c r="B11" s="1">
        <v>11289</v>
      </c>
      <c r="C11" t="s">
        <v>25</v>
      </c>
      <c r="D11" t="s">
        <v>26</v>
      </c>
      <c r="E11">
        <v>100</v>
      </c>
      <c r="F11">
        <v>26000</v>
      </c>
      <c r="G11" s="10">
        <v>2600000</v>
      </c>
      <c r="H11" s="8">
        <f>IF(Table1[[#This Row],[Quantity]]&gt;20,Table1[[#This Row],[Total]]-Table1[[#This Row],[Total]]*1.2,"NA")</f>
        <v>-520000</v>
      </c>
    </row>
    <row r="12" spans="2:9" x14ac:dyDescent="0.3">
      <c r="B12" s="1">
        <v>11290</v>
      </c>
      <c r="C12" t="s">
        <v>27</v>
      </c>
      <c r="D12" t="s">
        <v>28</v>
      </c>
      <c r="E12">
        <v>20</v>
      </c>
      <c r="F12">
        <v>35000</v>
      </c>
      <c r="G12" s="10">
        <v>700000</v>
      </c>
      <c r="H12" s="8" t="str">
        <f>IF(Table1[[#This Row],[Quantity]]&gt;20,Table1[[#This Row],[Total]]-Table1[[#This Row],[Total]]*1.2,"NA")</f>
        <v>NA</v>
      </c>
    </row>
    <row r="13" spans="2:9" x14ac:dyDescent="0.3">
      <c r="B13" s="1">
        <v>11291</v>
      </c>
      <c r="C13" t="s">
        <v>29</v>
      </c>
      <c r="D13" t="s">
        <v>30</v>
      </c>
      <c r="E13">
        <v>25</v>
      </c>
      <c r="F13">
        <v>40000</v>
      </c>
      <c r="G13" s="10">
        <v>1000000</v>
      </c>
      <c r="H13" s="8">
        <f>IF(Table1[[#This Row],[Quantity]]&gt;20,Table1[[#This Row],[Total]]-Table1[[#This Row],[Total]]*1.2,"NA")</f>
        <v>-200000</v>
      </c>
    </row>
    <row r="14" spans="2:9" x14ac:dyDescent="0.3">
      <c r="B14" s="1">
        <v>11292</v>
      </c>
      <c r="C14" t="s">
        <v>31</v>
      </c>
      <c r="D14" t="s">
        <v>12</v>
      </c>
      <c r="E14">
        <v>10</v>
      </c>
      <c r="F14">
        <v>28000</v>
      </c>
      <c r="G14" s="10">
        <v>280000</v>
      </c>
      <c r="H14" s="8" t="str">
        <f>IF(Table1[[#This Row],[Quantity]]&gt;20,Table1[[#This Row],[Total]]-Table1[[#This Row],[Total]]*1.2,"NA")</f>
        <v>NA</v>
      </c>
    </row>
    <row r="15" spans="2:9" x14ac:dyDescent="0.3">
      <c r="B15" s="1">
        <v>11293</v>
      </c>
      <c r="C15" t="s">
        <v>32</v>
      </c>
      <c r="D15" t="s">
        <v>14</v>
      </c>
      <c r="E15">
        <v>10</v>
      </c>
      <c r="F15">
        <v>30000</v>
      </c>
      <c r="G15" s="10">
        <v>300000</v>
      </c>
      <c r="H15" s="8" t="str">
        <f>IF(Table1[[#This Row],[Quantity]]&gt;20,Table1[[#This Row],[Total]]-Table1[[#This Row],[Total]]*1.2,"NA")</f>
        <v>NA</v>
      </c>
    </row>
    <row r="16" spans="2:9" x14ac:dyDescent="0.3">
      <c r="B16" s="1">
        <v>11294</v>
      </c>
      <c r="C16" t="s">
        <v>33</v>
      </c>
      <c r="D16" t="s">
        <v>16</v>
      </c>
      <c r="E16">
        <v>5</v>
      </c>
      <c r="F16">
        <v>30000</v>
      </c>
      <c r="G16" s="10">
        <v>150000</v>
      </c>
      <c r="H16" s="8" t="str">
        <f>IF(Table1[[#This Row],[Quantity]]&gt;20,Table1[[#This Row],[Total]]-Table1[[#This Row],[Total]]*1.2,"NA")</f>
        <v>NA</v>
      </c>
    </row>
    <row r="17" spans="2:8" x14ac:dyDescent="0.3">
      <c r="B17" s="1">
        <v>11295</v>
      </c>
      <c r="C17" t="s">
        <v>34</v>
      </c>
      <c r="D17" t="s">
        <v>18</v>
      </c>
      <c r="E17">
        <v>180</v>
      </c>
      <c r="F17">
        <v>26000</v>
      </c>
      <c r="G17" s="10">
        <v>4680000</v>
      </c>
      <c r="H17" s="8">
        <f>IF(Table1[[#This Row],[Quantity]]&gt;20,Table1[[#This Row],[Total]]-Table1[[#This Row],[Total]]*1.2,"NA")</f>
        <v>-936000</v>
      </c>
    </row>
    <row r="18" spans="2:8" x14ac:dyDescent="0.3">
      <c r="B18" s="1">
        <v>11296</v>
      </c>
      <c r="C18" t="s">
        <v>35</v>
      </c>
      <c r="D18" t="s">
        <v>20</v>
      </c>
      <c r="E18">
        <v>5</v>
      </c>
      <c r="F18">
        <v>30000</v>
      </c>
      <c r="G18" s="10">
        <v>150000</v>
      </c>
      <c r="H18" s="8" t="str">
        <f>IF(Table1[[#This Row],[Quantity]]&gt;20,Table1[[#This Row],[Total]]-Table1[[#This Row],[Total]]*1.2,"NA")</f>
        <v>NA</v>
      </c>
    </row>
    <row r="19" spans="2:8" x14ac:dyDescent="0.3">
      <c r="B19" s="2">
        <v>11297</v>
      </c>
      <c r="C19" s="3" t="s">
        <v>36</v>
      </c>
      <c r="D19" s="3" t="s">
        <v>22</v>
      </c>
      <c r="E19" s="3">
        <v>250</v>
      </c>
      <c r="F19" s="3">
        <v>35000</v>
      </c>
      <c r="G19" s="11">
        <v>8750000</v>
      </c>
      <c r="H19" s="8">
        <f>IF(Table1[[#This Row],[Quantity]]&gt;20,Table1[[#This Row],[Total]]-Table1[[#This Row],[Total]]*1.2,"NA")</f>
        <v>-1750000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Sheet5</vt:lpstr>
      <vt:lpstr>MACRO1</vt:lpstr>
      <vt:lpstr>MACRO</vt:lpstr>
      <vt:lpstr>Discounted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Abhishek Wavhal</dc:creator>
  <cp:lastModifiedBy>IT_4098</cp:lastModifiedBy>
  <dcterms:created xsi:type="dcterms:W3CDTF">2024-05-20T09:31:27Z</dcterms:created>
  <dcterms:modified xsi:type="dcterms:W3CDTF">2025-05-05T14:28:55Z</dcterms:modified>
</cp:coreProperties>
</file>